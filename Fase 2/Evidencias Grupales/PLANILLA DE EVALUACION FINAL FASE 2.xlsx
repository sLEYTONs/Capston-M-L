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7\"/>
    </mc:Choice>
  </mc:AlternateContent>
  <xr:revisionPtr revIDLastSave="0" documentId="13_ncr:1_{E711326D-0847-4305-9621-925CB300E28E}"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<sst xmlns="http://schemas.openxmlformats.org/spreadsheetml/2006/main" count="137" uniqueCount="78">
  <si>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</si>
  <si>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</si>
  <si>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</si>
  <si>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</si>
  <si>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</si>
  <si>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</si>
  <si>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</si>
  <si>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</si>
  <si>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</si>
  <si>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</si>
  <si>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</si>
  <si>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</si>
  <si>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</si>
  <si>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</si>
  <si>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</si>
  <si>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</si>
  <si>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</si>
  <si>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</si>
  <si>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</si>
  <si>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</si>
  <si>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</si>
  <si>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</si>
  <si>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</si>
  <si>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</si>
  <si>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</si>
  <si>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</si>
  <si>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</si>
  <si>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</si>
  <si>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</si>
  <si>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</si>
  <si>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</si>
  <si>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</si>
  <si>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</si>
  <si>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</si>
  <si>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</si>
  <si>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</si>
  <si>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</si>
  <si>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</si>
  <si>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</si>
  <si>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</si>
  <si>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</si>
  <si>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</si>
  <si>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</si>
  <si>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</si>
  <si>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</si>
  <si>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</si>
  <si>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</si>
  <si>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</si>
  <si>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</si>
  <si>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</si>
  <si>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</si>
  <si>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</si>
  <si>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</si>
  <si>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</si>
  <si>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</si>
  <si>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</si>
  <si>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</si>
  <si>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</si>
  <si>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</si>
  <si>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</si>
  <si>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</si>
  <si>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</si>
  <si>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</si>
  <si>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</si>
  <si>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</si>
  <si>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</si>
  <si>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</si>
  <si>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</si>
  <si>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</si>
  <si>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</si>
  <si>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</si>
  <si>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</si>
  <si>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</si>
  <si>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</si>
  <si>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</si>
  <si>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</si>
  <si>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MORA PALMA MATIAS FRANCISCO</t>
  </si>
  <si>
    <t>LEYTON CISTERNA SEBASTIAN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</si>
</sst>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E22" sqref="E2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3.8</v>
      </c>
      <c r="D4" s="5">
        <f>$C$32</f>
        <v>7</v>
      </c>
      <c r="E4" s="6">
        <f>C4*C$2+D4*D$2</f>
        <v>4.5999999999999996</v>
      </c>
      <c r="G4" s="1"/>
    </row>
    <row r="5" spans="1:11" ht="14.4" x14ac:dyDescent="0.3">
      <c r="A5" s="4">
        <v>2</v>
      </c>
      <c r="B5" s="27" t="s">
        <v>77</v>
      </c>
      <c r="C5" s="5">
        <f>EVALUACION1!$C$21</f>
        <v>3.8</v>
      </c>
      <c r="D5" s="5">
        <f>C44</f>
        <v>7</v>
      </c>
      <c r="E5" s="6">
        <f t="shared" ref="E5:E6" si="0">C5*C$2+D5*D$2</f>
        <v>4.5999999999999996</v>
      </c>
      <c r="G5" s="1"/>
    </row>
    <row r="6" spans="1:11" ht="14.4" x14ac:dyDescent="0.3">
      <c r="A6" s="4">
        <v>3</v>
      </c>
      <c r="B6" s="27"/>
      <c r="C6" s="5">
        <f>EVALUACION1!$C$21</f>
        <v>3.8</v>
      </c>
      <c r="D6" s="5">
        <f>C55</f>
        <v>7</v>
      </c>
      <c r="E6" s="6">
        <f t="shared" si="0"/>
        <v>4.5999999999999996</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74</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74</v>
      </c>
      <c r="D19" s="16" t="str">
        <f>IF($C19=CL,"X","")</f>
        <v/>
      </c>
      <c r="E19" s="16" t="str">
        <f>IF(D19="X",100*0.15,"")</f>
        <v/>
      </c>
      <c r="F19" s="16" t="str">
        <f>IF($C19=L,"X","")</f>
        <v/>
      </c>
      <c r="G19" s="16" t="str">
        <f>IF(F19="X",60*0.15,"")</f>
        <v/>
      </c>
      <c r="H19" s="16" t="str">
        <f>IF($C19=ML,"X","")</f>
        <v>X</v>
      </c>
      <c r="I19" s="16">
        <f>IF(H19="X",30*0.15,"")</f>
        <v>4.5</v>
      </c>
      <c r="J19" s="16" t="str">
        <f>IF($C19=NL,"X","")</f>
        <v/>
      </c>
      <c r="K19" s="16" t="str">
        <f t="shared" si="6"/>
        <v/>
      </c>
    </row>
    <row r="20" spans="1:11" ht="15.75" customHeight="1" outlineLevel="1" x14ac:dyDescent="0.35">
      <c r="A20" s="67"/>
      <c r="B20" s="29" t="s">
        <v>66</v>
      </c>
      <c r="C20" s="33">
        <f>E20+G20+I20+K20</f>
        <v>42.5</v>
      </c>
      <c r="D20" s="19"/>
      <c r="E20" s="19">
        <f>SUM(E13:E19)</f>
        <v>20</v>
      </c>
      <c r="F20" s="19"/>
      <c r="G20" s="19">
        <f>SUM(G13:G19)</f>
        <v>12</v>
      </c>
      <c r="H20" s="19"/>
      <c r="I20" s="19">
        <f>SUM(I13:I19)</f>
        <v>10.5</v>
      </c>
      <c r="J20" s="19"/>
      <c r="K20" s="19">
        <f>SUM(K13:K19)</f>
        <v>0</v>
      </c>
    </row>
    <row r="21" spans="1:11" ht="15.75" customHeight="1" outlineLevel="1" x14ac:dyDescent="0.35">
      <c r="A21" s="54"/>
      <c r="B21" s="32" t="s">
        <v>67</v>
      </c>
      <c r="C21" s="20">
        <f>VLOOKUP(C20,ESCALA_IEP!A1:B152,2,FALSE)</f>
        <v>3.8</v>
      </c>
    </row>
    <row r="22" spans="1:11" ht="15.75" customHeight="1" x14ac:dyDescent="0.3"/>
    <row r="23" spans="1:11" ht="15.75" customHeight="1" x14ac:dyDescent="0.3"/>
    <row r="24" spans="1:11" ht="15.75" customHeight="1" x14ac:dyDescent="0.3">
      <c r="A24" s="66" t="s">
        <v>59</v>
      </c>
      <c r="B24" s="53" t="s">
        <v>68</v>
      </c>
      <c r="C24" s="55" t="str">
        <f>$B$4</f>
        <v>MORA PALMA MATIAS FRANCISCO</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LEYTON CISTERNA SEBASTIAN ANDRES</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f>B6</f>
        <v>0</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2025-11-26T12:46:23Z</dcterms:modified>
  <cp:category/>
  <cp:contentStatus/>
</cp:coreProperties>
</file>