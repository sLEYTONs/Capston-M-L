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4D\Fase 3\Equipo 7\"/>
    </mc:Choice>
  </mc:AlternateContent>
  <xr:revisionPtr revIDLastSave="0" documentId="13_ncr:1_{71E3432B-EB06-4CFE-B427-C4E63CCF66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6" i="1"/>
  <c r="B52" i="1"/>
  <c r="B53" i="1"/>
  <c r="B54" i="1"/>
  <c r="B55" i="1"/>
  <c r="B56" i="1"/>
  <c r="B57" i="1"/>
  <c r="B51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B23" i="1"/>
  <c r="B10" i="1"/>
  <c r="B39" i="1"/>
  <c r="B40" i="1"/>
  <c r="B41" i="1"/>
  <c r="B42" i="1"/>
  <c r="B43" i="1"/>
  <c r="B44" i="1"/>
  <c r="B38" i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8" i="1"/>
  <c r="K38" i="1" s="1"/>
  <c r="H38" i="1"/>
  <c r="I38" i="1" s="1"/>
  <c r="F38" i="1"/>
  <c r="G38" i="1" s="1"/>
  <c r="D38" i="1"/>
  <c r="E38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58" i="1" l="1"/>
  <c r="E32" i="1"/>
  <c r="G32" i="1"/>
  <c r="G58" i="1"/>
  <c r="I58" i="1"/>
  <c r="K58" i="1"/>
  <c r="E45" i="1"/>
  <c r="K45" i="1"/>
  <c r="G45" i="1"/>
  <c r="I45" i="1"/>
  <c r="I32" i="1"/>
  <c r="K32" i="1"/>
  <c r="C32" i="1" l="1"/>
  <c r="C5" i="1" s="1"/>
  <c r="C58" i="1"/>
  <c r="D5" i="1" s="1"/>
  <c r="C45" i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<sst xmlns="http://schemas.openxmlformats.org/spreadsheetml/2006/main" count="129" uniqueCount="64">
  <si>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</si>
  <si>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</si>
  <si>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</si>
  <si>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</si>
  <si>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</si>
  <si>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</si>
  <si>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</si>
  <si>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</si>
  <si>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</si>
  <si>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</si>
  <si>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</si>
  <si>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</si>
  <si>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</si>
  <si>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</si>
  <si>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</si>
  <si>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</si>
  <si>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</si>
  <si>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</si>
  <si>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</si>
  <si>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</si>
  <si>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</si>
  <si>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</si>
  <si>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</si>
  <si>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</si>
  <si>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</si>
  <si>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</si>
  <si>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</si>
  <si>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</si>
  <si>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</si>
  <si>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</si>
  <si>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</si>
  <si>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</si>
  <si>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</si>
  <si>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</si>
  <si>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</si>
  <si>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</si>
  <si>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</si>
  <si>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</si>
  <si>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</si>
  <si>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</si>
  <si>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</si>
  <si>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</si>
  <si>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</si>
  <si>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</si>
  <si>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</si>
  <si>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</si>
  <si>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</si>
  <si>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</si>
  <si>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</si>
  <si>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</si>
  <si>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</si>
  <si>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</si>
  <si>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</si>
  <si>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</si>
  <si>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</si>
  <si>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</si>
  <si>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</si>
  <si>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</si>
  <si>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</si>
  <si>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</si>
  <si>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</si>
  <si>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</si>
  <si>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MORA PALMA MATIAS FRANCISCO</t>
  </si>
  <si>
    <t>LEYTON CISTERNA SEBASTIAN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</si>
</sst>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70"/>
  <sheetViews>
    <sheetView tabSelected="1" zoomScale="120" zoomScaleNormal="120" workbookViewId="0">
      <selection activeCell="B7" sqref="B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5</v>
      </c>
      <c r="D4" s="37">
        <f>C46</f>
        <v>5</v>
      </c>
      <c r="E4" s="36">
        <f>C4*C$2+D4*D$2</f>
        <v>5</v>
      </c>
    </row>
    <row r="5" spans="1:11" ht="14.4" x14ac:dyDescent="0.3">
      <c r="A5" s="3">
        <v>2</v>
      </c>
      <c r="B5" s="16" t="s">
        <v>63</v>
      </c>
      <c r="C5" s="31">
        <f>C33</f>
        <v>5</v>
      </c>
      <c r="D5" s="37">
        <f>C59</f>
        <v>5</v>
      </c>
      <c r="E5" s="36">
        <f t="shared" ref="E5" si="0">C5*C$2+D5*D$2</f>
        <v>5</v>
      </c>
    </row>
    <row r="10" spans="1:11" ht="18" outlineLevel="1" x14ac:dyDescent="0.3">
      <c r="A10" s="39" t="s">
        <v>4</v>
      </c>
      <c r="B10" s="11" t="str">
        <f>B4</f>
        <v>MORA PALMA MATIAS FRANCISCO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9</v>
      </c>
      <c r="D12" s="12" t="str">
        <f t="shared" ref="D12:D16" si="1">IF($C12=CL,"X","")</f>
        <v/>
      </c>
      <c r="E12" s="12" t="str">
        <f>IF(D12="X",100*0.15,"")</f>
        <v/>
      </c>
      <c r="F12" s="12" t="str">
        <f t="shared" ref="F12:F16" si="2">IF($C12=L,"X","")</f>
        <v>X</v>
      </c>
      <c r="G12" s="12">
        <f>IF(F12="X",60*0.15,"")</f>
        <v>9</v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9</v>
      </c>
      <c r="D14" s="12" t="str">
        <f t="shared" si="1"/>
        <v/>
      </c>
      <c r="E14" s="12" t="str">
        <f>IF(D14="X",100*0.2,"")</f>
        <v/>
      </c>
      <c r="F14" s="12" t="str">
        <f t="shared" si="2"/>
        <v>X</v>
      </c>
      <c r="G14" s="12">
        <f>IF(F14="X",60*0.2,"")</f>
        <v>12</v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9</v>
      </c>
      <c r="D15" s="12" t="str">
        <f t="shared" si="1"/>
        <v/>
      </c>
      <c r="E15" s="12" t="str">
        <f>IF(D15="X",100*0.05,"")</f>
        <v/>
      </c>
      <c r="F15" s="12" t="str">
        <f t="shared" si="2"/>
        <v>X</v>
      </c>
      <c r="G15" s="12">
        <f>IF(F15="X",60*0.05,"")</f>
        <v>3</v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9</v>
      </c>
      <c r="D17" s="12" t="str">
        <f>IF($C17=CL,"X","")</f>
        <v/>
      </c>
      <c r="E17" s="12" t="str">
        <f>IF(D17="X",100*0.2,"")</f>
        <v/>
      </c>
      <c r="F17" s="12" t="str">
        <f>IF($C17=L,"X","")</f>
        <v>X</v>
      </c>
      <c r="G17" s="12">
        <f>IF(F17="X",60*0.2,"")</f>
        <v>12</v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74</v>
      </c>
      <c r="D19" s="13"/>
      <c r="E19" s="13">
        <f>SUM(E12:E18)</f>
        <v>35</v>
      </c>
      <c r="F19" s="13"/>
      <c r="G19" s="13">
        <f>SUM(G12:G18)</f>
        <v>39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v>5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39" t="s">
        <v>4</v>
      </c>
      <c r="B23" s="11" t="str">
        <f>B5</f>
        <v>LEYTON CISTERNA SEBASTIAN ANDRES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9</v>
      </c>
      <c r="D25" s="12" t="str">
        <f t="shared" ref="D25:D29" si="7">IF($C25=CL,"X","")</f>
        <v/>
      </c>
      <c r="E25" s="12" t="str">
        <f>IF(D25="X",100*0.15,"")</f>
        <v/>
      </c>
      <c r="F25" s="12" t="str">
        <f t="shared" ref="F25:F29" si="8">IF($C25=L,"X","")</f>
        <v>X</v>
      </c>
      <c r="G25" s="12">
        <f>IF(F25="X",60*0.15,"")</f>
        <v>9</v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9</v>
      </c>
      <c r="D27" s="12" t="str">
        <f t="shared" si="7"/>
        <v/>
      </c>
      <c r="E27" s="12" t="str">
        <f>IF(D27="X",100*0.2,"")</f>
        <v/>
      </c>
      <c r="F27" s="12" t="str">
        <f t="shared" si="8"/>
        <v>X</v>
      </c>
      <c r="G27" s="12">
        <f>IF(F27="X",60*0.2,"")</f>
        <v>12</v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9</v>
      </c>
      <c r="D28" s="12" t="str">
        <f t="shared" si="7"/>
        <v/>
      </c>
      <c r="E28" s="12" t="str">
        <f>IF(D28="X",100*0.05,"")</f>
        <v/>
      </c>
      <c r="F28" s="12" t="str">
        <f t="shared" si="8"/>
        <v>X</v>
      </c>
      <c r="G28" s="12">
        <f>IF(F28="X",60*0.05,"")</f>
        <v>3</v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9</v>
      </c>
      <c r="D30" s="12" t="str">
        <f>IF($C30=CL,"X","")</f>
        <v/>
      </c>
      <c r="E30" s="12" t="str">
        <f>IF(D30="X",100*0.2,"")</f>
        <v/>
      </c>
      <c r="F30" s="12" t="str">
        <f>IF($C30=L,"X","")</f>
        <v>X</v>
      </c>
      <c r="G30" s="12">
        <f>IF(F30="X",60*0.2,"")</f>
        <v>12</v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74</v>
      </c>
      <c r="D32" s="13"/>
      <c r="E32" s="13">
        <f>SUM(E25:E31)</f>
        <v>35</v>
      </c>
      <c r="F32" s="13"/>
      <c r="G32" s="13">
        <f>SUM(G25:G31)</f>
        <v>39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v>5</v>
      </c>
    </row>
    <row r="34" spans="1:11" ht="16.2" customHeight="1" x14ac:dyDescent="0.3"/>
    <row r="35" spans="1:11" ht="13.95" customHeight="1" x14ac:dyDescent="0.3"/>
    <row r="36" spans="1:11" ht="24" customHeight="1" x14ac:dyDescent="0.3">
      <c r="A36" s="48" t="s">
        <v>14</v>
      </c>
      <c r="B36" s="11" t="str">
        <f>B4</f>
        <v>MORA PALMA MATIAS FRANCISCO</v>
      </c>
      <c r="C36" s="43" t="s">
        <v>5</v>
      </c>
      <c r="D36" s="44" t="s">
        <v>6</v>
      </c>
      <c r="E36" s="45"/>
      <c r="F36" s="45"/>
      <c r="G36" s="45"/>
      <c r="H36" s="45"/>
      <c r="I36" s="45"/>
      <c r="J36" s="45"/>
      <c r="K36" s="46"/>
    </row>
    <row r="37" spans="1:11" ht="24" customHeight="1" x14ac:dyDescent="0.3">
      <c r="A37" s="40"/>
      <c r="B37" s="15" t="s">
        <v>7</v>
      </c>
      <c r="C37" s="42"/>
      <c r="D37" s="44" t="s">
        <v>8</v>
      </c>
      <c r="E37" s="46"/>
      <c r="F37" s="44" t="s">
        <v>9</v>
      </c>
      <c r="G37" s="46"/>
      <c r="H37" s="47" t="s">
        <v>10</v>
      </c>
      <c r="I37" s="46"/>
      <c r="J37" s="44" t="s">
        <v>11</v>
      </c>
      <c r="K37" s="46"/>
    </row>
    <row r="38" spans="1:11" ht="24" customHeight="1" x14ac:dyDescent="0.3">
      <c r="A38" s="41"/>
      <c r="B38" s="19" t="str">
        <f>RUBRICA!A4</f>
        <v xml:space="preserve">1. Presenta el proyecto considerando la relevancia, objetivos, metodología y desarrollo, de acuerdo a los estándares de calidad de la disciplina. </v>
      </c>
      <c r="C38" s="17" t="s">
        <v>9</v>
      </c>
      <c r="D38" s="12" t="str">
        <f t="shared" ref="D38:D42" si="12">IF($C38=CL,"X","")</f>
        <v/>
      </c>
      <c r="E38" s="12" t="str">
        <f>IF(D38="X",100*0.15,"")</f>
        <v/>
      </c>
      <c r="F38" s="12" t="str">
        <f t="shared" ref="F38:F42" si="13">IF($C38=L,"X","")</f>
        <v>X</v>
      </c>
      <c r="G38" s="12">
        <f>IF(F38="X",60*0.15,"")</f>
        <v>9</v>
      </c>
      <c r="H38" s="12" t="str">
        <f t="shared" ref="H38:H42" si="14">IF($C38=ML,"X","")</f>
        <v/>
      </c>
      <c r="I38" s="12" t="str">
        <f>IF(H38="X",30*0.15,"")</f>
        <v/>
      </c>
      <c r="J38" s="12" t="str">
        <f t="shared" ref="J38:J42" si="15">IF($C38=NL,"X","")</f>
        <v/>
      </c>
      <c r="K38" s="12" t="str">
        <f t="shared" ref="K38:K44" si="16">IF($J38="X",0,"")</f>
        <v/>
      </c>
    </row>
    <row r="39" spans="1:11" ht="24" customHeight="1" x14ac:dyDescent="0.3">
      <c r="A39" s="41"/>
      <c r="B39" s="19" t="str">
        <f>RUBRICA!A5</f>
        <v xml:space="preserve">2. Presenta las evidencias del Proyecto APT, dando cuenta del cumplimiento de los objetivos y de acuerdo a los estándares de la disciplina. </v>
      </c>
      <c r="C39" s="17" t="s">
        <v>8</v>
      </c>
      <c r="D39" s="12" t="str">
        <f t="shared" si="12"/>
        <v>X</v>
      </c>
      <c r="E39" s="12">
        <f>IF(D39="X",100*0.25,"")</f>
        <v>25</v>
      </c>
      <c r="F39" s="12" t="str">
        <f t="shared" si="13"/>
        <v/>
      </c>
      <c r="G39" s="12" t="str">
        <f>IF(F39="X",60*0.25,"")</f>
        <v/>
      </c>
      <c r="H39" s="12" t="str">
        <f t="shared" si="14"/>
        <v/>
      </c>
      <c r="I39" s="12" t="str">
        <f>IF(H39="X",30*0.25,"")</f>
        <v/>
      </c>
      <c r="J39" s="12" t="str">
        <f t="shared" si="15"/>
        <v/>
      </c>
      <c r="K39" s="12" t="str">
        <f t="shared" si="16"/>
        <v/>
      </c>
    </row>
    <row r="40" spans="1:11" ht="24" customHeight="1" x14ac:dyDescent="0.3">
      <c r="A40" s="41"/>
      <c r="B40" s="19" t="str">
        <f>RUBRICA!A6</f>
        <v>3. Responde las preguntas realizadas por la comisión, cumpliendo con los estándares de calidad de la disciplina.</v>
      </c>
      <c r="C40" s="17" t="s">
        <v>9</v>
      </c>
      <c r="D40" s="12" t="str">
        <f t="shared" si="12"/>
        <v/>
      </c>
      <c r="E40" s="12" t="str">
        <f>IF(D40="X",100*0.2,"")</f>
        <v/>
      </c>
      <c r="F40" s="12" t="str">
        <f t="shared" si="13"/>
        <v>X</v>
      </c>
      <c r="G40" s="12">
        <f>IF(F40="X",60*0.2,"")</f>
        <v>12</v>
      </c>
      <c r="H40" s="12" t="str">
        <f t="shared" si="14"/>
        <v/>
      </c>
      <c r="I40" s="12" t="str">
        <f>IF(H40="X",30*0.2,"")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RUBRICA!A7</f>
        <v>4. Expone el Proyecto APT, considerando el formato y el tiempo establecido para la presentación.</v>
      </c>
      <c r="C41" s="17" t="s">
        <v>9</v>
      </c>
      <c r="D41" s="12" t="str">
        <f t="shared" si="12"/>
        <v/>
      </c>
      <c r="E41" s="12" t="str">
        <f>IF(D41="X",100*0.05,"")</f>
        <v/>
      </c>
      <c r="F41" s="12" t="str">
        <f t="shared" si="13"/>
        <v>X</v>
      </c>
      <c r="G41" s="12">
        <f>IF(F41="X",60*0.05,"")</f>
        <v>3</v>
      </c>
      <c r="H41" s="12" t="str">
        <f t="shared" si="14"/>
        <v/>
      </c>
      <c r="I41" s="12" t="str">
        <f>IF(H41="X",30*0.05,"")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RUBRICA!A8</f>
        <v>5. Expresa sus ideas con fluidez, claridad y precisión, utilizando lenguaje técnico propio de la disciplina.</v>
      </c>
      <c r="C42" s="17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RUBRICA!A9</f>
        <v>6. Entrega la documentación y evidencias requerida por la asignatura de acuerdo a la estructura y nombres solicitados, guardando todas las evidencias de avances en Git</v>
      </c>
      <c r="C43" s="17" t="s">
        <v>9</v>
      </c>
      <c r="D43" s="12" t="str">
        <f>IF($C43=CL,"X","")</f>
        <v/>
      </c>
      <c r="E43" s="12" t="str">
        <f>IF(D43="X",100*0.2,"")</f>
        <v/>
      </c>
      <c r="F43" s="12" t="str">
        <f>IF($C43=L,"X","")</f>
        <v>X</v>
      </c>
      <c r="G43" s="12">
        <f>IF(F43="X",60*0.2,"")</f>
        <v>12</v>
      </c>
      <c r="H43" s="12" t="str">
        <f>IF($C43=ML,"X","")</f>
        <v/>
      </c>
      <c r="I43" s="12" t="str">
        <f>IF(H43="X",30*0.2,"")</f>
        <v/>
      </c>
      <c r="J43" s="12" t="str">
        <f>IF($C43=NL,"X","")</f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RUBRICA!A10</f>
        <v xml:space="preserve">7. Expone el tema utilizando un lenguaje técnico disciplinar al presentar la propuesta y responde evidenciando un manejo de la información. </v>
      </c>
      <c r="C44" s="17" t="s">
        <v>8</v>
      </c>
      <c r="D44" s="12" t="str">
        <f>IF($C44=CL,"X","")</f>
        <v>X</v>
      </c>
      <c r="E44" s="12">
        <f>IF(D44="X",100*0.1,"")</f>
        <v>10</v>
      </c>
      <c r="F44" s="12" t="str">
        <f>IF($C44=L,"X","")</f>
        <v/>
      </c>
      <c r="G44" s="12" t="str">
        <f>IF(F44="X",60*0.1,"")</f>
        <v/>
      </c>
      <c r="H44" s="12" t="str">
        <f>IF($C44=ML,"X","")</f>
        <v/>
      </c>
      <c r="I44" s="12" t="str">
        <f>IF(H44="X",30*0.1,"")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5">
      <c r="A45" s="40"/>
      <c r="B45" s="18" t="s">
        <v>12</v>
      </c>
      <c r="C45" s="22">
        <f>E45+G45+I45+K45</f>
        <v>74</v>
      </c>
      <c r="D45" s="13"/>
      <c r="E45" s="13">
        <f>SUM(E38:E44)</f>
        <v>35</v>
      </c>
      <c r="F45" s="13"/>
      <c r="G45" s="13">
        <f>SUM(G38:G44)</f>
        <v>39</v>
      </c>
      <c r="H45" s="13"/>
      <c r="I45" s="13">
        <f>SUM(I38:I44)</f>
        <v>0</v>
      </c>
      <c r="J45" s="13"/>
      <c r="K45" s="13">
        <f>SUM(K38:K44)</f>
        <v>0</v>
      </c>
    </row>
    <row r="46" spans="1:11" ht="24" customHeight="1" x14ac:dyDescent="0.35">
      <c r="A46" s="42"/>
      <c r="B46" s="21" t="s">
        <v>13</v>
      </c>
      <c r="C46" s="14">
        <v>5</v>
      </c>
    </row>
    <row r="47" spans="1:11" ht="15.75" customHeight="1" x14ac:dyDescent="0.3"/>
    <row r="48" spans="1:11" ht="15.75" customHeight="1" x14ac:dyDescent="0.3"/>
    <row r="49" spans="1:11" ht="24" customHeight="1" x14ac:dyDescent="0.3">
      <c r="A49" s="48" t="s">
        <v>15</v>
      </c>
      <c r="B49" s="11" t="str">
        <f>B5</f>
        <v>LEYTON CISTERNA SEBASTIAN ANDRES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9</v>
      </c>
      <c r="D51" s="12" t="str">
        <f t="shared" ref="D51:D55" si="17">IF($C51=CL,"X","")</f>
        <v/>
      </c>
      <c r="E51" s="12" t="str">
        <f>IF(D51="X",100*0.15,"")</f>
        <v/>
      </c>
      <c r="F51" s="12" t="str">
        <f t="shared" ref="F51:F55" si="18">IF($C51=L,"X","")</f>
        <v>X</v>
      </c>
      <c r="G51" s="12">
        <f>IF(F51="X",60*0.15,"")</f>
        <v>9</v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24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4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9</v>
      </c>
      <c r="D53" s="12" t="str">
        <f t="shared" si="17"/>
        <v/>
      </c>
      <c r="E53" s="12" t="str">
        <f>IF(D53="X",100*0.2,"")</f>
        <v/>
      </c>
      <c r="F53" s="12" t="str">
        <f t="shared" si="18"/>
        <v>X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9</v>
      </c>
      <c r="D54" s="12" t="str">
        <f t="shared" si="17"/>
        <v/>
      </c>
      <c r="E54" s="12" t="str">
        <f>IF(D54="X",100*0.05,"")</f>
        <v/>
      </c>
      <c r="F54" s="12" t="str">
        <f t="shared" si="18"/>
        <v>X</v>
      </c>
      <c r="G54" s="12">
        <f>IF(F54="X",60*0.05,"")</f>
        <v>3</v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9</v>
      </c>
      <c r="D56" s="12" t="str">
        <f>IF($C56=CL,"X","")</f>
        <v/>
      </c>
      <c r="E56" s="12" t="str">
        <f>IF(D56="X",100*0.2,"")</f>
        <v/>
      </c>
      <c r="F56" s="12" t="str">
        <f>IF($C56=L,"X","")</f>
        <v>X</v>
      </c>
      <c r="G56" s="12">
        <f>IF(F56="X",60*0.2,"")</f>
        <v>12</v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5">
      <c r="A58" s="40"/>
      <c r="B58" s="18" t="s">
        <v>12</v>
      </c>
      <c r="C58" s="22">
        <f>E58+G58+I58+K58</f>
        <v>74</v>
      </c>
      <c r="D58" s="13"/>
      <c r="E58" s="13">
        <f>SUM(E51:E57)</f>
        <v>35</v>
      </c>
      <c r="F58" s="13"/>
      <c r="G58" s="13">
        <f>SUM(G51:G57)</f>
        <v>39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5">
      <c r="A59" s="42"/>
      <c r="B59" s="21" t="s">
        <v>13</v>
      </c>
      <c r="C59" s="14">
        <v>5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</sheetData>
  <mergeCells count="28">
    <mergeCell ref="A49:A59"/>
    <mergeCell ref="C49:C50"/>
    <mergeCell ref="D49:K49"/>
    <mergeCell ref="D50:E50"/>
    <mergeCell ref="F50:G50"/>
    <mergeCell ref="H50:I50"/>
    <mergeCell ref="J50:K50"/>
    <mergeCell ref="D23:K23"/>
    <mergeCell ref="D24:E24"/>
    <mergeCell ref="F24:G24"/>
    <mergeCell ref="H24:I24"/>
    <mergeCell ref="J24:K24"/>
    <mergeCell ref="A36:A46"/>
    <mergeCell ref="C36:C37"/>
    <mergeCell ref="D36:K36"/>
    <mergeCell ref="D37:E37"/>
    <mergeCell ref="F37:G37"/>
    <mergeCell ref="H37:I37"/>
    <mergeCell ref="J37:K37"/>
    <mergeCell ref="A10:A20"/>
    <mergeCell ref="C10:C11"/>
    <mergeCell ref="D11:E11"/>
    <mergeCell ref="D10:K10"/>
    <mergeCell ref="F11:G11"/>
    <mergeCell ref="H11:I11"/>
    <mergeCell ref="J11:K11"/>
    <mergeCell ref="A23:A33"/>
    <mergeCell ref="C23:C24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C12:C18 C25:C31 C38:C44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2025-12-09T00:44:05Z</dcterms:modified>
  <cp:category/>
  <cp:contentStatus/>
</cp:coreProperties>
</file>